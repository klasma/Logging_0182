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46221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V2">
        <f>HYPERLINK("https://klasma.github.io/Logging_0182/artfynd/A 21853-2022 artfynd.xlsx", "A 21853-2022")</f>
        <v/>
      </c>
      <c r="W2">
        <f>HYPERLINK("https://klasma.github.io/Logging_0182/kartor/A 21853-2022 karta.png", "A 21853-2022")</f>
        <v/>
      </c>
      <c r="Y2">
        <f>HYPERLINK("https://klasma.github.io/Logging_0182/klagomål/A 21853-2022 FSC-klagomål.docx", "A 21853-2022")</f>
        <v/>
      </c>
      <c r="Z2">
        <f>HYPERLINK("https://klasma.github.io/Logging_0182/klagomålsmail/A 21853-2022 FSC-klagomål mail.docx", "A 21853-2022")</f>
        <v/>
      </c>
      <c r="AA2">
        <f>HYPERLINK("https://klasma.github.io/Logging_0182/tillsyn/A 21853-2022 tillsynsbegäran.docx", "A 21853-2022")</f>
        <v/>
      </c>
      <c r="AB2">
        <f>HYPERLINK("https://klasma.github.io/Logging_0182/tillsynsmail/A 21853-2022 tillsynsbegäran mail.docx", "A 21853-2022")</f>
        <v/>
      </c>
      <c r="AC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46221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s="2" t="inlineStr">
        <is>
          <t>Ask
Bredbandad ekbarkbock
Trubbdaggkåpa
Drillsnäppa
Nordfladdermus
Silltrut
Grönpyrola
Dvärgpipistrell
Sångsvan
Vattenfladdermus</t>
        </is>
      </c>
      <c r="V3">
        <f>HYPERLINK("https://klasma.github.io/Logging_0182/artfynd/S 7011-2022 artfynd.xlsx", "S 7011-2022")</f>
        <v/>
      </c>
      <c r="W3">
        <f>HYPERLINK("https://klasma.github.io/Logging_0182/kartor/S 7011-2022 karta.png", "S 7011-2022")</f>
        <v/>
      </c>
      <c r="Y3">
        <f>HYPERLINK("https://klasma.github.io/Logging_0182/klagomål/S 7011-2022 FSC-klagomål.docx", "S 7011-2022")</f>
        <v/>
      </c>
      <c r="Z3">
        <f>HYPERLINK("https://klasma.github.io/Logging_0182/klagomålsmail/S 7011-2022 FSC-klagomål mail.docx", "S 7011-2022")</f>
        <v/>
      </c>
      <c r="AA3">
        <f>HYPERLINK("https://klasma.github.io/Logging_0182/tillsyn/S 7011-2022 tillsynsbegäran.docx", "S 7011-2022")</f>
        <v/>
      </c>
      <c r="AB3">
        <f>HYPERLINK("https://klasma.github.io/Logging_0182/tillsynsmail/S 7011-2022 tillsynsbegäran mail.docx", "S 7011-2022")</f>
        <v/>
      </c>
      <c r="AC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46221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s="2" t="inlineStr">
        <is>
          <t>Gransotdyna
Gulsparv
Jungfrulin
Skeppsvarvsfluga
Vågticka
Rostfläck
Tibast
Törnskata</t>
        </is>
      </c>
      <c r="V4">
        <f>HYPERLINK("https://klasma.github.io/Logging_0182/artfynd/A 25612-2024 artfynd.xlsx", "A 25612-2024")</f>
        <v/>
      </c>
      <c r="W4">
        <f>HYPERLINK("https://klasma.github.io/Logging_0182/kartor/A 25612-2024 karta.png", "A 25612-2024")</f>
        <v/>
      </c>
      <c r="Y4">
        <f>HYPERLINK("https://klasma.github.io/Logging_0182/klagomål/A 25612-2024 FSC-klagomål.docx", "A 25612-2024")</f>
        <v/>
      </c>
      <c r="Z4">
        <f>HYPERLINK("https://klasma.github.io/Logging_0182/klagomålsmail/A 25612-2024 FSC-klagomål mail.docx", "A 25612-2024")</f>
        <v/>
      </c>
      <c r="AA4">
        <f>HYPERLINK("https://klasma.github.io/Logging_0182/tillsyn/A 25612-2024 tillsynsbegäran.docx", "A 25612-2024")</f>
        <v/>
      </c>
      <c r="AB4">
        <f>HYPERLINK("https://klasma.github.io/Logging_0182/tillsynsmail/A 25612-2024 tillsynsbegäran mail.docx", "A 25612-2024")</f>
        <v/>
      </c>
      <c r="AC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46221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s="2" t="inlineStr">
        <is>
          <t>Ask
Dropptaggsvamp
Tallticka
Mindre flugsnappare
Kopparödla</t>
        </is>
      </c>
      <c r="V5">
        <f>HYPERLINK("https://klasma.github.io/Logging_0182/artfynd/S 917-2023 artfynd.xlsx", "S 917-2023")</f>
        <v/>
      </c>
      <c r="W5">
        <f>HYPERLINK("https://klasma.github.io/Logging_0182/kartor/S 917-2023 karta.png", "S 917-2023")</f>
        <v/>
      </c>
      <c r="Y5">
        <f>HYPERLINK("https://klasma.github.io/Logging_0182/klagomål/S 917-2023 FSC-klagomål.docx", "S 917-2023")</f>
        <v/>
      </c>
      <c r="Z5">
        <f>HYPERLINK("https://klasma.github.io/Logging_0182/klagomålsmail/S 917-2023 FSC-klagomål mail.docx", "S 917-2023")</f>
        <v/>
      </c>
      <c r="AA5">
        <f>HYPERLINK("https://klasma.github.io/Logging_0182/tillsyn/S 917-2023 tillsynsbegäran.docx", "S 917-2023")</f>
        <v/>
      </c>
      <c r="AB5">
        <f>HYPERLINK("https://klasma.github.io/Logging_0182/tillsynsmail/S 917-2023 tillsynsbegäran mail.docx", "S 917-2023")</f>
        <v/>
      </c>
      <c r="AC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46221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Kandelabersvamp
Hagfingersvamp
Gröngöling</t>
        </is>
      </c>
      <c r="V6">
        <f>HYPERLINK("https://klasma.github.io/Logging_0182/artfynd/A 21888-2022 artfynd.xlsx", "A 21888-2022")</f>
        <v/>
      </c>
      <c r="W6">
        <f>HYPERLINK("https://klasma.github.io/Logging_0182/kartor/A 21888-2022 karta.png", "A 21888-2022")</f>
        <v/>
      </c>
      <c r="Y6">
        <f>HYPERLINK("https://klasma.github.io/Logging_0182/klagomål/A 21888-2022 FSC-klagomål.docx", "A 21888-2022")</f>
        <v/>
      </c>
      <c r="Z6">
        <f>HYPERLINK("https://klasma.github.io/Logging_0182/klagomålsmail/A 21888-2022 FSC-klagomål mail.docx", "A 21888-2022")</f>
        <v/>
      </c>
      <c r="AA6">
        <f>HYPERLINK("https://klasma.github.io/Logging_0182/tillsyn/A 21888-2022 tillsynsbegäran.docx", "A 21888-2022")</f>
        <v/>
      </c>
      <c r="AB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46221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Rotfingersvamp
Grönsiska
Kungsfågel</t>
        </is>
      </c>
      <c r="V7">
        <f>HYPERLINK("https://klasma.github.io/Logging_0182/artfynd/S 6190-2022 artfynd.xlsx", "S 6190-2022")</f>
        <v/>
      </c>
      <c r="W7">
        <f>HYPERLINK("https://klasma.github.io/Logging_0182/kartor/S 6190-2022 karta.png", "S 6190-2022")</f>
        <v/>
      </c>
      <c r="X7">
        <f>HYPERLINK("https://klasma.github.io/Logging_0182/knärot/S 6190-2022 karta knärot.png", "S 6190-2022")</f>
        <v/>
      </c>
      <c r="Y7">
        <f>HYPERLINK("https://klasma.github.io/Logging_0182/klagomål/S 6190-2022 FSC-klagomål.docx", "S 6190-2022")</f>
        <v/>
      </c>
      <c r="Z7">
        <f>HYPERLINK("https://klasma.github.io/Logging_0182/klagomålsmail/S 6190-2022 FSC-klagomål mail.docx", "S 6190-2022")</f>
        <v/>
      </c>
      <c r="AA7">
        <f>HYPERLINK("https://klasma.github.io/Logging_0182/tillsyn/S 6190-2022 tillsynsbegäran.docx", "S 6190-2022")</f>
        <v/>
      </c>
      <c r="AB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46221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Grönfink
Tibast</t>
        </is>
      </c>
      <c r="V8">
        <f>HYPERLINK("https://klasma.github.io/Logging_0182/artfynd/A 22068-2022 artfynd.xlsx", "A 22068-2022")</f>
        <v/>
      </c>
      <c r="W8">
        <f>HYPERLINK("https://klasma.github.io/Logging_0182/kartor/A 22068-2022 karta.png", "A 22068-2022")</f>
        <v/>
      </c>
      <c r="Y8">
        <f>HYPERLINK("https://klasma.github.io/Logging_0182/klagomål/A 22068-2022 FSC-klagomål.docx", "A 22068-2022")</f>
        <v/>
      </c>
      <c r="Z8">
        <f>HYPERLINK("https://klasma.github.io/Logging_0182/klagomålsmail/A 22068-2022 FSC-klagomål mail.docx", "A 22068-2022")</f>
        <v/>
      </c>
      <c r="AA8">
        <f>HYPERLINK("https://klasma.github.io/Logging_0182/tillsyn/A 22068-2022 tillsynsbegäran.docx", "A 22068-2022")</f>
        <v/>
      </c>
      <c r="AB8">
        <f>HYPERLINK("https://klasma.github.io/Logging_0182/tillsynsmail/A 22068-2022 tillsynsbegäran mail.docx", "A 22068-2022")</f>
        <v/>
      </c>
      <c r="AC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46221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46221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2026-07-18T01:22:40Z</dcterms:created>
  <dcterms:modified xmlns:dcterms="http://purl.org/dc/terms/" xmlns:xsi="http://www.w3.org/2001/XMLSchema-instance" xsi:type="dcterms:W3CDTF">2026-07-18T01:22:40Z</dcterms:modified>
</cp:coreProperties>
</file>