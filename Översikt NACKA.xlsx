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21853-2022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44709</v>
      </c>
      <c r="E2" s="1" t="n">
        <v>46323</v>
      </c>
      <c r="F2" t="inlineStr">
        <is>
          <t>STOCKHOLMS LÄN</t>
        </is>
      </c>
      <c r="G2" t="inlineStr">
        <is>
          <t>NACKA</t>
        </is>
      </c>
      <c r="I2" t="n">
        <v>9.300000000000001</v>
      </c>
      <c r="J2" t="n">
        <v>6</v>
      </c>
      <c r="K2" t="n">
        <v>6</v>
      </c>
      <c r="L2" t="n">
        <v>8</v>
      </c>
      <c r="M2" t="n">
        <v>3</v>
      </c>
      <c r="N2" t="n">
        <v>0</v>
      </c>
      <c r="O2" t="n">
        <v>0</v>
      </c>
      <c r="P2" t="n">
        <v>0</v>
      </c>
      <c r="Q2" t="n">
        <v>11</v>
      </c>
      <c r="R2" t="n">
        <v>3</v>
      </c>
      <c r="S2" t="n">
        <v>24</v>
      </c>
      <c r="T2" t="n">
        <v>55</v>
      </c>
      <c r="U2" t="n">
        <v>54</v>
      </c>
      <c r="V2" s="2" t="inlineStr">
        <is>
          <t>Goliatmusseron
Jättemusseron
Lakritsmusseron
Blå taggsvamp
Dropptaggsvamp
Kandelabersvamp
Motaggsvamp
Skarp dropptaggsvamp
Sotvaxskivling
Svartvit taggsvamp
Tallticka
Björksplintborre
Blåmossa
Bronshjon
Granbarkgnagare
Grovticka
Mindre märgborre
Spillkråka
Stjärtmes
Timmerticka
Grönsiska
Trana
Fläcknycklar
Revlummer</t>
        </is>
      </c>
      <c r="W2">
        <f>HYPERLINK("https://klasma.github.io/Logging_0182/artfynd/A 21853-2022 artfynd.xlsx", "A 21853-2022")</f>
        <v/>
      </c>
      <c r="X2">
        <f>HYPERLINK("https://klasma.github.io/Logging_0182/kartor/A 21853-2022 karta.png", "A 21853-2022")</f>
        <v/>
      </c>
      <c r="Y2">
        <f>HYPERLINK("https://klasma.github.io/Logging_0182/kartor_geotiff/A 21853-2022 georefererad karta.tif", "A 21853-2022")</f>
        <v/>
      </c>
      <c r="AA2">
        <f>HYPERLINK("https://klasma.github.io/Logging_0182/klagomål/A 21853-2022 FSC-klagomål.docx", "A 21853-2022")</f>
        <v/>
      </c>
      <c r="AB2">
        <f>HYPERLINK("https://klasma.github.io/Logging_0182/klagomålsmail/A 21853-2022 FSC-klagomål mail.docx", "A 21853-2022")</f>
        <v/>
      </c>
      <c r="AC2">
        <f>HYPERLINK("https://klasma.github.io/Logging_0182/tillsyn/A 21853-2022 tillsynsbegäran.docx", "A 21853-2022")</f>
        <v/>
      </c>
      <c r="AD2">
        <f>HYPERLINK("https://klasma.github.io/Logging_0182/tillsynsmail/A 21853-2022 tillsynsbegäran mail.docx", "A 21853-2022")</f>
        <v/>
      </c>
      <c r="AE2">
        <f>HYPERLINK("https://klasma.github.io/Logging_0182/fåglar/A 21853-2022 prioriterade fågelarter.docx", "A 21853-2022")</f>
        <v/>
      </c>
    </row>
    <row r="3" ht="15" customHeight="1">
      <c r="A3" t="inlineStr">
        <is>
          <t>S 7011-2022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44903</v>
      </c>
      <c r="E3" s="1" t="n">
        <v>46323</v>
      </c>
      <c r="F3" t="inlineStr">
        <is>
          <t>STOCKHOLMS LÄN</t>
        </is>
      </c>
      <c r="G3" t="inlineStr">
        <is>
          <t>NACKA</t>
        </is>
      </c>
      <c r="H3" t="inlineStr">
        <is>
          <t>Kommuner</t>
        </is>
      </c>
      <c r="I3" t="n">
        <v>3.5</v>
      </c>
      <c r="J3" t="n">
        <v>6</v>
      </c>
      <c r="K3" t="n">
        <v>1</v>
      </c>
      <c r="L3" t="n">
        <v>3</v>
      </c>
      <c r="M3" t="n">
        <v>2</v>
      </c>
      <c r="N3" t="n">
        <v>1</v>
      </c>
      <c r="O3" t="n">
        <v>0</v>
      </c>
      <c r="P3" t="n">
        <v>0</v>
      </c>
      <c r="Q3" t="n">
        <v>6</v>
      </c>
      <c r="R3" t="n">
        <v>3</v>
      </c>
      <c r="S3" t="n">
        <v>10</v>
      </c>
      <c r="T3" t="n">
        <v>16</v>
      </c>
      <c r="U3" t="n">
        <v>3</v>
      </c>
      <c r="V3" s="2" t="inlineStr">
        <is>
          <t>Ask
Bredbandad ekbarkbock
Trubbdaggkåpa
Drillsnäppa
Nordfladdermus
Silltrut
Grönpyrola
Dvärgpipistrell
Sångsvan
Vattenfladdermus</t>
        </is>
      </c>
      <c r="W3">
        <f>HYPERLINK("https://klasma.github.io/Logging_0182/artfynd/S 7011-2022 artfynd.xlsx", "S 7011-2022")</f>
        <v/>
      </c>
      <c r="X3">
        <f>HYPERLINK("https://klasma.github.io/Logging_0182/kartor/S 7011-2022 karta.png", "S 7011-2022")</f>
        <v/>
      </c>
      <c r="Y3">
        <f>HYPERLINK("https://klasma.github.io/Logging_0182/kartor_geotiff/S 7011-2022 georefererad karta.tif", "S 7011-2022")</f>
        <v/>
      </c>
      <c r="AA3">
        <f>HYPERLINK("https://klasma.github.io/Logging_0182/klagomål/S 7011-2022 FSC-klagomål.docx", "S 7011-2022")</f>
        <v/>
      </c>
      <c r="AB3">
        <f>HYPERLINK("https://klasma.github.io/Logging_0182/klagomålsmail/S 7011-2022 FSC-klagomål mail.docx", "S 7011-2022")</f>
        <v/>
      </c>
      <c r="AC3">
        <f>HYPERLINK("https://klasma.github.io/Logging_0182/tillsyn/S 7011-2022 tillsynsbegäran.docx", "S 7011-2022")</f>
        <v/>
      </c>
      <c r="AD3">
        <f>HYPERLINK("https://klasma.github.io/Logging_0182/tillsynsmail/S 7011-2022 tillsynsbegäran mail.docx", "S 7011-2022")</f>
        <v/>
      </c>
      <c r="AE3">
        <f>HYPERLINK("https://klasma.github.io/Logging_0182/fåglar/S 7011-2022 prioriterade fågelarter.docx", "S 7011-2022")</f>
        <v/>
      </c>
    </row>
    <row r="4" ht="15" customHeight="1">
      <c r="A4" t="inlineStr">
        <is>
          <t>A 25612-2024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45463</v>
      </c>
      <c r="E4" s="1" t="n">
        <v>46323</v>
      </c>
      <c r="F4" t="inlineStr">
        <is>
          <t>STOCKHOLMS LÄN</t>
        </is>
      </c>
      <c r="G4" t="inlineStr">
        <is>
          <t>NACKA</t>
        </is>
      </c>
      <c r="I4" t="n">
        <v>1.5</v>
      </c>
      <c r="J4" t="n">
        <v>2</v>
      </c>
      <c r="K4" t="n">
        <v>2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8</v>
      </c>
      <c r="T4" t="n">
        <v>9</v>
      </c>
      <c r="U4" t="n">
        <v>7</v>
      </c>
      <c r="V4" s="2" t="inlineStr">
        <is>
          <t>Gransotdyna
Gulsparv
Jungfrulin
Skeppsvarvsfluga
Vågticka
Rostfläck
Tibast
Törnskata</t>
        </is>
      </c>
      <c r="W4">
        <f>HYPERLINK("https://klasma.github.io/Logging_0182/artfynd/A 25612-2024 artfynd.xlsx", "A 25612-2024")</f>
        <v/>
      </c>
      <c r="X4">
        <f>HYPERLINK("https://klasma.github.io/Logging_0182/kartor/A 25612-2024 karta.png", "A 25612-2024")</f>
        <v/>
      </c>
      <c r="Y4">
        <f>HYPERLINK("https://klasma.github.io/Logging_0182/kartor_geotiff/A 25612-2024 georefererad karta.tif", "A 25612-2024")</f>
        <v/>
      </c>
      <c r="AA4">
        <f>HYPERLINK("https://klasma.github.io/Logging_0182/klagomål/A 25612-2024 FSC-klagomål.docx", "A 25612-2024")</f>
        <v/>
      </c>
      <c r="AB4">
        <f>HYPERLINK("https://klasma.github.io/Logging_0182/klagomålsmail/A 25612-2024 FSC-klagomål mail.docx", "A 25612-2024")</f>
        <v/>
      </c>
      <c r="AC4">
        <f>HYPERLINK("https://klasma.github.io/Logging_0182/tillsyn/A 25612-2024 tillsynsbegäran.docx", "A 25612-2024")</f>
        <v/>
      </c>
      <c r="AD4">
        <f>HYPERLINK("https://klasma.github.io/Logging_0182/tillsynsmail/A 25612-2024 tillsynsbegäran mail.docx", "A 25612-2024")</f>
        <v/>
      </c>
      <c r="AE4">
        <f>HYPERLINK("https://klasma.github.io/Logging_0182/fåglar/A 25612-2024 prioriterade fågelarter.docx", "A 25612-2024")</f>
        <v/>
      </c>
    </row>
    <row r="5" ht="15" customHeight="1">
      <c r="A5" t="inlineStr">
        <is>
          <t>S 917-2023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44999</v>
      </c>
      <c r="E5" s="1" t="n">
        <v>46323</v>
      </c>
      <c r="F5" t="inlineStr">
        <is>
          <t>STOCKHOLMS LÄN</t>
        </is>
      </c>
      <c r="G5" t="inlineStr">
        <is>
          <t>NACKA</t>
        </is>
      </c>
      <c r="H5" t="inlineStr">
        <is>
          <t>Kommuner</t>
        </is>
      </c>
      <c r="I5" t="n">
        <v>1.6</v>
      </c>
      <c r="J5" t="n">
        <v>2</v>
      </c>
      <c r="K5" t="n">
        <v>0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3</v>
      </c>
      <c r="R5" t="n">
        <v>1</v>
      </c>
      <c r="S5" t="n">
        <v>5</v>
      </c>
      <c r="T5" t="n">
        <v>13</v>
      </c>
      <c r="U5" t="n">
        <v>10</v>
      </c>
      <c r="V5" s="2" t="inlineStr">
        <is>
          <t>Ask
Dropptaggsvamp
Tallticka
Mindre flugsnappare
Kopparödla</t>
        </is>
      </c>
      <c r="W5">
        <f>HYPERLINK("https://klasma.github.io/Logging_0182/artfynd/S 917-2023 artfynd.xlsx", "S 917-2023")</f>
        <v/>
      </c>
      <c r="X5">
        <f>HYPERLINK("https://klasma.github.io/Logging_0182/kartor/S 917-2023 karta.png", "S 917-2023")</f>
        <v/>
      </c>
      <c r="Y5">
        <f>HYPERLINK("https://klasma.github.io/Logging_0182/kartor_geotiff/S 917-2023 georefererad karta.tif", "S 917-2023")</f>
        <v/>
      </c>
      <c r="AA5">
        <f>HYPERLINK("https://klasma.github.io/Logging_0182/klagomål/S 917-2023 FSC-klagomål.docx", "S 917-2023")</f>
        <v/>
      </c>
      <c r="AB5">
        <f>HYPERLINK("https://klasma.github.io/Logging_0182/klagomålsmail/S 917-2023 FSC-klagomål mail.docx", "S 917-2023")</f>
        <v/>
      </c>
      <c r="AC5">
        <f>HYPERLINK("https://klasma.github.io/Logging_0182/tillsyn/S 917-2023 tillsynsbegäran.docx", "S 917-2023")</f>
        <v/>
      </c>
      <c r="AD5">
        <f>HYPERLINK("https://klasma.github.io/Logging_0182/tillsynsmail/S 917-2023 tillsynsbegäran mail.docx", "S 917-2023")</f>
        <v/>
      </c>
      <c r="AE5">
        <f>HYPERLINK("https://klasma.github.io/Logging_0182/fåglar/S 917-2023 prioriterade fågelarter.docx", "S 917-2023")</f>
        <v/>
      </c>
    </row>
    <row r="6" ht="15" customHeight="1">
      <c r="A6" t="inlineStr">
        <is>
          <t>A 21888-2022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44709</v>
      </c>
      <c r="E6" s="1" t="n">
        <v>46323</v>
      </c>
      <c r="F6" t="inlineStr">
        <is>
          <t>STOCKHOLMS LÄN</t>
        </is>
      </c>
      <c r="G6" t="inlineStr">
        <is>
          <t>NACKA</t>
        </is>
      </c>
      <c r="I6" t="n">
        <v>2.4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3</v>
      </c>
      <c r="T6" t="n">
        <v>3</v>
      </c>
      <c r="U6" t="n">
        <v>3</v>
      </c>
      <c r="V6" s="2" t="inlineStr">
        <is>
          <t>Kandelabersvamp
Hagfingersvamp
Gröngöling</t>
        </is>
      </c>
      <c r="W6">
        <f>HYPERLINK("https://klasma.github.io/Logging_0182/artfynd/A 21888-2022 artfynd.xlsx", "A 21888-2022")</f>
        <v/>
      </c>
      <c r="X6">
        <f>HYPERLINK("https://klasma.github.io/Logging_0182/kartor/A 21888-2022 karta.png", "A 21888-2022")</f>
        <v/>
      </c>
      <c r="Y6">
        <f>HYPERLINK("https://klasma.github.io/Logging_0182/kartor_geotiff/A 21888-2022 georefererad karta.tif", "A 21888-2022")</f>
        <v/>
      </c>
      <c r="AA6">
        <f>HYPERLINK("https://klasma.github.io/Logging_0182/klagomål/A 21888-2022 FSC-klagomål.docx", "A 21888-2022")</f>
        <v/>
      </c>
      <c r="AB6">
        <f>HYPERLINK("https://klasma.github.io/Logging_0182/klagomålsmail/A 21888-2022 FSC-klagomål mail.docx", "A 21888-2022")</f>
        <v/>
      </c>
      <c r="AC6">
        <f>HYPERLINK("https://klasma.github.io/Logging_0182/tillsyn/A 21888-2022 tillsynsbegäran.docx", "A 21888-2022")</f>
        <v/>
      </c>
      <c r="AD6">
        <f>HYPERLINK("https://klasma.github.io/Logging_0182/tillsynsmail/A 21888-2022 tillsynsbegäran mail.docx", "A 21888-2022")</f>
        <v/>
      </c>
    </row>
    <row r="7" ht="15" customHeight="1">
      <c r="A7" t="inlineStr">
        <is>
          <t>S 6190-2022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44867</v>
      </c>
      <c r="E7" s="1" t="n">
        <v>46323</v>
      </c>
      <c r="F7" t="inlineStr">
        <is>
          <t>STOCKHOLMS LÄN</t>
        </is>
      </c>
      <c r="G7" t="inlineStr">
        <is>
          <t>NACKA</t>
        </is>
      </c>
      <c r="H7" t="inlineStr">
        <is>
          <t>Kommuner</t>
        </is>
      </c>
      <c r="I7" t="n">
        <v>5.6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3</v>
      </c>
      <c r="T7" t="n">
        <v>3</v>
      </c>
      <c r="U7" t="n">
        <v>3</v>
      </c>
      <c r="V7" s="2" t="inlineStr">
        <is>
          <t>Rotfingersvamp
Grönsiska
Kungsfågel</t>
        </is>
      </c>
      <c r="W7">
        <f>HYPERLINK("https://klasma.github.io/Logging_0182/artfynd/S 6190-2022 artfynd.xlsx", "S 6190-2022")</f>
        <v/>
      </c>
      <c r="X7">
        <f>HYPERLINK("https://klasma.github.io/Logging_0182/kartor/S 6190-2022 karta.png", "S 6190-2022")</f>
        <v/>
      </c>
      <c r="Y7">
        <f>HYPERLINK("https://klasma.github.io/Logging_0182/kartor_geotiff/S 6190-2022 georefererad karta.tif", "S 6190-2022")</f>
        <v/>
      </c>
      <c r="Z7">
        <f>HYPERLINK("https://klasma.github.io/Logging_0182/knärot/S 6190-2022 karta knärot.png", "S 6190-2022")</f>
        <v/>
      </c>
      <c r="AA7">
        <f>HYPERLINK("https://klasma.github.io/Logging_0182/klagomål/S 6190-2022 FSC-klagomål.docx", "S 6190-2022")</f>
        <v/>
      </c>
      <c r="AB7">
        <f>HYPERLINK("https://klasma.github.io/Logging_0182/klagomålsmail/S 6190-2022 FSC-klagomål mail.docx", "S 6190-2022")</f>
        <v/>
      </c>
      <c r="AC7">
        <f>HYPERLINK("https://klasma.github.io/Logging_0182/tillsyn/S 6190-2022 tillsynsbegäran.docx", "S 6190-2022")</f>
        <v/>
      </c>
      <c r="AD7">
        <f>HYPERLINK("https://klasma.github.io/Logging_0182/tillsynsmail/S 6190-2022 tillsynsbegäran mail.docx", "S 6190-2022")</f>
        <v/>
      </c>
    </row>
    <row r="8" ht="15" customHeight="1">
      <c r="A8" t="inlineStr">
        <is>
          <t>A 22068-2022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44711</v>
      </c>
      <c r="E8" s="1" t="n">
        <v>46323</v>
      </c>
      <c r="F8" t="inlineStr">
        <is>
          <t>STOCKHOLMS LÄN</t>
        </is>
      </c>
      <c r="G8" t="inlineStr">
        <is>
          <t>NACKA</t>
        </is>
      </c>
      <c r="I8" t="n">
        <v>0.7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2</v>
      </c>
      <c r="U8" t="n">
        <v>0</v>
      </c>
      <c r="V8" s="2" t="inlineStr">
        <is>
          <t>Grönfink
Tibast</t>
        </is>
      </c>
      <c r="W8">
        <f>HYPERLINK("https://klasma.github.io/Logging_0182/artfynd/A 22068-2022 artfynd.xlsx", "A 22068-2022")</f>
        <v/>
      </c>
      <c r="X8">
        <f>HYPERLINK("https://klasma.github.io/Logging_0182/kartor/A 22068-2022 karta.png", "A 22068-2022")</f>
        <v/>
      </c>
      <c r="Y8">
        <f>HYPERLINK("https://klasma.github.io/Logging_0182/kartor_geotiff/A 22068-2022 georefererad karta.tif", "A 22068-2022")</f>
        <v/>
      </c>
      <c r="AA8">
        <f>HYPERLINK("https://klasma.github.io/Logging_0182/klagomål/A 22068-2022 FSC-klagomål.docx", "A 22068-2022")</f>
        <v/>
      </c>
      <c r="AB8">
        <f>HYPERLINK("https://klasma.github.io/Logging_0182/klagomålsmail/A 22068-2022 FSC-klagomål mail.docx", "A 22068-2022")</f>
        <v/>
      </c>
      <c r="AC8">
        <f>HYPERLINK("https://klasma.github.io/Logging_0182/tillsyn/A 22068-2022 tillsynsbegäran.docx", "A 22068-2022")</f>
        <v/>
      </c>
      <c r="AD8">
        <f>HYPERLINK("https://klasma.github.io/Logging_0182/tillsynsmail/A 22068-2022 tillsynsbegäran mail.docx", "A 22068-2022")</f>
        <v/>
      </c>
      <c r="AE8">
        <f>HYPERLINK("https://klasma.github.io/Logging_0182/fåglar/A 22068-2022 prioriterade fågelarter.docx", "A 22068-2022")</f>
        <v/>
      </c>
    </row>
    <row r="9" ht="15" customHeight="1">
      <c r="A9" t="inlineStr">
        <is>
          <t>A 21472-2022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44706</v>
      </c>
      <c r="E9" s="1" t="n">
        <v>46323</v>
      </c>
      <c r="F9" t="inlineStr">
        <is>
          <t>STOCKHOLMS LÄN</t>
        </is>
      </c>
      <c r="G9" t="inlineStr">
        <is>
          <t>NACKA</t>
        </is>
      </c>
      <c r="I9" t="n">
        <v>1.5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>
      <c r="A10" t="inlineStr">
        <is>
          <t>A 15260-2023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45019</v>
      </c>
      <c r="E10" s="1" t="n">
        <v>46323</v>
      </c>
      <c r="F10" t="inlineStr">
        <is>
          <t>STOCKHOLMS LÄN</t>
        </is>
      </c>
      <c r="G10" t="inlineStr">
        <is>
          <t>NACKA</t>
        </is>
      </c>
      <c r="I10" t="n">
        <v>2.5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2026-10-28T03:15:13Z</dcterms:created>
  <dcterms:modified xmlns:dcterms="http://purl.org/dc/terms/" xmlns:xsi="http://www.w3.org/2001/XMLSchema-instance" xsi:type="dcterms:W3CDTF">2026-10-28T03:15:13Z</dcterms:modified>
</cp:coreProperties>
</file>